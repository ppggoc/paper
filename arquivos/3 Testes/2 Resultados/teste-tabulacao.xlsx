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harts/style1.xml" ContentType="application/vnd.ms-office.chartstyl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teste-prompt-CB1" sheetId="1" state="visible" r:id="rId1"/>
    <sheet name="teste-prompt-CB2" sheetId="2" state="visible" r:id="rId2"/>
    <sheet name="teste-prompt-CB3" sheetId="3" state="visible" r:id="rId3"/>
    <sheet name="gráfico" sheetId="4" state="visible" r:id="rId4"/>
    <sheet name="tabela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<sst xmlns="http://schemas.openxmlformats.org/spreadsheetml/2006/main" count="43" uniqueCount="43">
  <si>
    <t>Categoria</t>
  </si>
  <si>
    <t>Critério</t>
  </si>
  <si>
    <t xml:space="preserve">Sonnet 4.5</t>
  </si>
  <si>
    <t>GPT-4o</t>
  </si>
  <si>
    <t xml:space="preserve">2.5 Flash</t>
  </si>
  <si>
    <t>E1</t>
  </si>
  <si>
    <t>E2</t>
  </si>
  <si>
    <t>E3</t>
  </si>
  <si>
    <t xml:space="preserve">SQL Script</t>
  </si>
  <si>
    <t xml:space="preserve">Consulta SQL sintaticamente correta</t>
  </si>
  <si>
    <t xml:space="preserve">Referência a tabelas e colunas existentes no dicionário de dados</t>
  </si>
  <si>
    <t xml:space="preserve">Inclui joins ou filtros necessários</t>
  </si>
  <si>
    <t xml:space="preserve">Recupera apenas os atributos relevantes para o caso de busca</t>
  </si>
  <si>
    <t xml:space="preserve">Mapping (Ontop)</t>
  </si>
  <si>
    <t xml:space="preserve">Mapeamento Ontop em formato Turtle válido</t>
  </si>
  <si>
    <t xml:space="preserve">Mapeamento de classes/propriedades da ontologia</t>
  </si>
  <si>
    <t xml:space="preserve">SPARQL Query</t>
  </si>
  <si>
    <t xml:space="preserve">Consulta SPARQL sintaticamente válida</t>
  </si>
  <si>
    <t xml:space="preserve">Uso de classes e propriedades da ontologia</t>
  </si>
  <si>
    <t xml:space="preserve">Variáveis/dados  retornados correspondem ao esperado</t>
  </si>
  <si>
    <t xml:space="preserve">Coerência Geral</t>
  </si>
  <si>
    <t xml:space="preserve">SQL, Mapping e SPARQL alinhados entre si</t>
  </si>
  <si>
    <t xml:space="preserve">Saída final organizada em três blocos rotulados</t>
  </si>
  <si>
    <t>Não</t>
  </si>
  <si>
    <t xml:space="preserve">aproveitamento (%)</t>
  </si>
  <si>
    <t>Sim</t>
  </si>
  <si>
    <t>Parcialmente</t>
  </si>
  <si>
    <t xml:space="preserve">Variáveis retornadas correspondem aos dados esperados</t>
  </si>
  <si>
    <t>CB1-E1</t>
  </si>
  <si>
    <t>CB1-E2</t>
  </si>
  <si>
    <t>CB1-E3</t>
  </si>
  <si>
    <t>CB2-E1</t>
  </si>
  <si>
    <t>CB2-E2</t>
  </si>
  <si>
    <t>CB2-E3</t>
  </si>
  <si>
    <t>CB3-E1</t>
  </si>
  <si>
    <t>CB3-E2</t>
  </si>
  <si>
    <t>CB3-E3</t>
  </si>
  <si>
    <t xml:space="preserve">Claude Sonnet 4.5</t>
  </si>
  <si>
    <t xml:space="preserve">Gemini 2.5 Flash</t>
  </si>
  <si>
    <t>CB1</t>
  </si>
  <si>
    <t>CB2</t>
  </si>
  <si>
    <t>CB3</t>
  </si>
  <si>
    <t xml:space="preserve">Média Geral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</si>
</sst>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8.000000"/>
      <color theme="1"/>
      <name val="Calibri"/>
      <scheme val="minor"/>
    </font>
    <font>
      <b/>
      <sz val="11.000000"/>
      <color theme="1"/>
      <name val="Calibri"/>
      <scheme val="minor"/>
    </font>
    <font>
      <sz val="10.000000"/>
      <color theme="1"/>
      <name val="Calibri"/>
      <scheme val="minor"/>
    </font>
    <font>
      <sz val="8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center" vertical="top"/>
    </xf>
    <xf fontId="2" fillId="0" borderId="1" numFmtId="0" xfId="0" applyFont="1" applyBorder="1" applyAlignment="1">
      <alignment horizontal="center" vertical="top"/>
    </xf>
    <xf fontId="1" fillId="0" borderId="1" numFmtId="0" xfId="0" applyFont="1" applyBorder="1" applyAlignment="1">
      <alignment horizontal="center" vertical="top"/>
    </xf>
    <xf fontId="2" fillId="0" borderId="0" numFmtId="0" xfId="0" applyFont="1"/>
    <xf fontId="0" fillId="0" borderId="1" numFmtId="0" xfId="0" applyBorder="1"/>
    <xf fontId="3" fillId="0" borderId="0" numFmtId="0" xfId="0" applyFont="1"/>
    <xf fontId="3" fillId="0" borderId="2" numFmtId="0" xfId="0" applyFont="1" applyBorder="1"/>
    <xf fontId="0" fillId="0" borderId="2" numFmtId="0" xfId="0" applyBorder="1" applyAlignment="1">
      <alignment horizontal="center"/>
    </xf>
    <xf fontId="4" fillId="0" borderId="0" numFmtId="0" xfId="0" applyFont="1" applyAlignment="1">
      <alignment wrapText="1"/>
    </xf>
    <xf fontId="3" fillId="0" borderId="3" numFmtId="0" xfId="0" applyFont="1" applyBorder="1"/>
    <xf fontId="3" fillId="0" borderId="4" numFmtId="0" xfId="0" applyFont="1" applyBorder="1"/>
    <xf fontId="0" fillId="0" borderId="3" numFmtId="0" xfId="0" applyBorder="1" applyAlignment="1">
      <alignment horizontal="center"/>
    </xf>
    <xf fontId="0" fillId="0" borderId="4" numFmtId="0" xfId="0" applyBorder="1" applyAlignment="1">
      <alignment horizontal="center"/>
    </xf>
    <xf fontId="0" fillId="0" borderId="2" numFmtId="0" xfId="0" applyBorder="1"/>
    <xf fontId="0" fillId="0" borderId="0" numFmtId="2" xfId="0" applyNumberFormat="1" applyAlignment="1">
      <alignment horizontal="center"/>
    </xf>
    <xf fontId="0" fillId="0" borderId="2" numFmtId="2" xfId="0" applyNumberFormat="1" applyBorder="1" applyAlignment="1">
      <alignment horizontal="center"/>
    </xf>
    <xf fontId="0" fillId="0" borderId="2" numFmtId="0" xfId="0" applyBorder="1" applyAlignment="1">
      <alignment horizontal="left"/>
    </xf>
    <xf fontId="2" fillId="0" borderId="0" numFmtId="2" xfId="0" applyNumberFormat="1" applyFont="1" applyAlignment="1">
      <alignment horizontal="center"/>
    </xf>
    <xf fontId="2" fillId="0" borderId="2" numFmtId="2" xfId="0" applyNumberFormat="1" applyFont="1" applyBorder="1" applyAlignment="1">
      <alignment horizontal="center"/>
    </xf>
    <xf fontId="0" fillId="0" borderId="0" numFmtId="0" xfId="0" applyAlignment="1">
      <alignment horizontal="left"/>
    </xf>
    <xf fontId="0" fillId="0" borderId="0" numFmtId="2" xfId="0" applyNumberFormat="1"/>
    <xf fontId="2" fillId="0" borderId="0" numFmtId="0" xfId="0" applyFont="1" applyAlignment="1">
      <alignment horizontal="center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100" b="1"/>
            </a:pPr>
            <a:r>
              <a:rPr sz="1100" b="1"/>
              <a:t>Comportamento dos modelos em diferentes execuções</a:t>
            </a:r>
            <a:endParaRPr sz="1100" b="1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100" b="1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gráfico!$A$2</c:f>
              <c:strCache>
                <c:ptCount val="1"/>
                <c:pt idx="0">
                  <c:v>Claude Sonnet 4.5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cat>
            <c:strRef>
              <c:f>gráfico!$B$1:$J$1</c:f>
              <c:strCache>
                <c:ptCount val="9"/>
                <c:pt idx="0">
                  <c:v>CB1-E1</c:v>
                </c:pt>
                <c:pt idx="1">
                  <c:v>CB1-E2</c:v>
                </c:pt>
                <c:pt idx="2">
                  <c:v>CB1-E3</c:v>
                </c:pt>
                <c:pt idx="3">
                  <c:v>CB2-E1</c:v>
                </c:pt>
                <c:pt idx="4">
                  <c:v>CB2-E2</c:v>
                </c:pt>
                <c:pt idx="5">
                  <c:v>CB2-E3</c:v>
                </c:pt>
                <c:pt idx="6">
                  <c:v>CB3-E1</c:v>
                </c:pt>
                <c:pt idx="7">
                  <c:v>CB3-E2</c:v>
                </c:pt>
                <c:pt idx="8">
                  <c:v>CB3-E3</c:v>
                </c:pt>
              </c:strCache>
            </c:strRef>
          </c:cat>
          <c:val>
            <c:numRef>
              <c:f>gráfico!$B$2:$J$2</c:f>
              <c:numCache>
                <c:formatCode>0.00</c:formatCode>
                <c:ptCount val="9"/>
                <c:pt idx="0">
                  <c:v>90.91</c:v>
                </c:pt>
                <c:pt idx="1">
                  <c:v>95.45</c:v>
                </c:pt>
                <c:pt idx="2">
                  <c:v>95.45</c:v>
                </c:pt>
                <c:pt idx="3">
                  <c:v>95.45</c:v>
                </c:pt>
                <c:pt idx="4">
                  <c:v>95.45</c:v>
                </c:pt>
                <c:pt idx="5">
                  <c:v>95.45</c:v>
                </c:pt>
                <c:pt idx="6">
                  <c:v>95.45</c:v>
                </c:pt>
                <c:pt idx="7">
                  <c:v>95.45</c:v>
                </c:pt>
                <c:pt idx="8">
                  <c:v>95.45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gráfico!$A$3</c:f>
              <c:strCache>
                <c:ptCount val="1"/>
                <c:pt idx="0">
                  <c:v>GPT-4o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cat>
            <c:strRef>
              <c:f>gráfico!$B$1:$J$1</c:f>
              <c:strCache>
                <c:ptCount val="9"/>
                <c:pt idx="0">
                  <c:v>CB1-E1</c:v>
                </c:pt>
                <c:pt idx="1">
                  <c:v>CB1-E2</c:v>
                </c:pt>
                <c:pt idx="2">
                  <c:v>CB1-E3</c:v>
                </c:pt>
                <c:pt idx="3">
                  <c:v>CB2-E1</c:v>
                </c:pt>
                <c:pt idx="4">
                  <c:v>CB2-E2</c:v>
                </c:pt>
                <c:pt idx="5">
                  <c:v>CB2-E3</c:v>
                </c:pt>
                <c:pt idx="6">
                  <c:v>CB3-E1</c:v>
                </c:pt>
                <c:pt idx="7">
                  <c:v>CB3-E2</c:v>
                </c:pt>
                <c:pt idx="8">
                  <c:v>CB3-E3</c:v>
                </c:pt>
              </c:strCache>
            </c:strRef>
          </c:cat>
          <c:val>
            <c:numRef>
              <c:f>gráfico!$B$3:$J$3</c:f>
              <c:numCache>
                <c:formatCode>0.00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90.91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gráfico!$A$4</c:f>
              <c:strCache>
                <c:ptCount val="1"/>
                <c:pt idx="0">
                  <c:v>Gemini 2.5 Flash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3"/>
              </a:solidFill>
              <a:ln w="9525">
                <a:solidFill>
                  <a:schemeClr val="accent3"/>
                </a:solidFill>
              </a:ln>
            </c:spPr>
          </c:marker>
          <c:cat>
            <c:strRef>
              <c:f>gráfico!$B$1:$J$1</c:f>
              <c:strCache>
                <c:ptCount val="9"/>
                <c:pt idx="0">
                  <c:v>CB1-E1</c:v>
                </c:pt>
                <c:pt idx="1">
                  <c:v>CB1-E2</c:v>
                </c:pt>
                <c:pt idx="2">
                  <c:v>CB1-E3</c:v>
                </c:pt>
                <c:pt idx="3">
                  <c:v>CB2-E1</c:v>
                </c:pt>
                <c:pt idx="4">
                  <c:v>CB2-E2</c:v>
                </c:pt>
                <c:pt idx="5">
                  <c:v>CB2-E3</c:v>
                </c:pt>
                <c:pt idx="6">
                  <c:v>CB3-E1</c:v>
                </c:pt>
                <c:pt idx="7">
                  <c:v>CB3-E2</c:v>
                </c:pt>
                <c:pt idx="8">
                  <c:v>CB3-E3</c:v>
                </c:pt>
              </c:strCache>
            </c:strRef>
          </c:cat>
          <c:val>
            <c:numRef>
              <c:f>gráfico!$B$4:$J$4</c:f>
              <c:numCache>
                <c:formatCode>0.00</c:formatCode>
                <c:ptCount val="9"/>
                <c:pt idx="0">
                  <c:v>81.82</c:v>
                </c:pt>
                <c:pt idx="1">
                  <c:v>90.91</c:v>
                </c:pt>
                <c:pt idx="2">
                  <c:v>100</c:v>
                </c:pt>
                <c:pt idx="3">
                  <c:v>100</c:v>
                </c:pt>
                <c:pt idx="4">
                  <c:v>90.91</c:v>
                </c:pt>
                <c:pt idx="5">
                  <c:v>95.45</c:v>
                </c:pt>
                <c:pt idx="6">
                  <c:v>100</c:v>
                </c:pt>
                <c:pt idx="7">
                  <c:v>86.36</c:v>
                </c:pt>
                <c:pt idx="8">
                  <c:v>77.27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marker val="1"/>
        <c:smooth val="0"/>
        <c:axId val="511721977"/>
        <c:axId val="511721978"/>
      </c:lineChart>
      <c:catAx>
        <c:axId val="511721977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8"/>
        <c:crosses val="autoZero"/>
        <c:auto val="1"/>
        <c:lblAlgn val="ctr"/>
        <c:lblOffset val="100"/>
        <c:tickMarkSkip val="1"/>
        <c:noMultiLvlLbl val="0"/>
      </c:catAx>
      <c:valAx>
        <c:axId val="511721978"/>
        <c:scaling>
          <c:orientation val="minMax"/>
          <c:max val="100.0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0" y="1004887"/>
      <a:ext cx="4554000" cy="180000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5</xdr:row>
      <xdr:rowOff>100012</xdr:rowOff>
    </xdr:from>
    <xdr:to>
      <xdr:col>8</xdr:col>
      <xdr:colOff>401098</xdr:colOff>
      <xdr:row>15</xdr:row>
      <xdr:rowOff>90262</xdr:rowOff>
    </xdr:to>
    <xdr:graphicFrame>
      <xdr:nvGraphicFramePr>
        <xdr:cNvPr id="1143785495" name=""/>
        <xdr:cNvGraphicFramePr>
          <a:graphicFrameLocks xmlns:a="http://schemas.openxmlformats.org/drawingml/2006/main"/>
        </xdr:cNvGraphicFramePr>
      </xdr:nvGraphicFramePr>
      <xdr:xfrm>
        <a:off x="0" y="1004887"/>
        <a:ext cx="4554000" cy="180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4.25"/>
  <cols>
    <col bestFit="1" min="1" max="1" width="13.8515625"/>
    <col bestFit="1" min="2" max="2" width="50.28125"/>
    <col bestFit="1" customWidth="1" min="3" max="3" width="5.28125"/>
    <col bestFit="1" min="4" max="5" width="5.28125"/>
    <col bestFit="1" min="6" max="8" width="6.28125"/>
    <col bestFit="1" min="9" max="10" width="5.28125"/>
    <col bestFit="1" min="11" max="11" width="6.28125"/>
    <col bestFit="1" customWidth="1" min="12" max="12" width="37.7109375"/>
  </cols>
  <sheetData>
    <row r="1" ht="14.25">
      <c r="C1" s="1"/>
      <c r="D1" s="1"/>
      <c r="E1" s="1"/>
      <c r="J1" s="2"/>
      <c r="K1" s="2"/>
    </row>
    <row r="2">
      <c r="A2" s="3" t="s">
        <v>0</v>
      </c>
      <c r="B2" s="3" t="s">
        <v>1</v>
      </c>
      <c r="C2" s="4" t="s">
        <v>2</v>
      </c>
      <c r="D2" s="4"/>
      <c r="E2" s="4"/>
      <c r="F2" s="4" t="s">
        <v>3</v>
      </c>
      <c r="G2" s="4"/>
      <c r="H2" s="4"/>
      <c r="I2" s="4" t="s">
        <v>4</v>
      </c>
      <c r="J2" s="4"/>
      <c r="K2" s="4"/>
      <c r="L2" s="5"/>
    </row>
    <row r="3">
      <c r="A3" s="3"/>
      <c r="B3" s="3"/>
      <c r="C3" s="6" t="s">
        <v>5</v>
      </c>
      <c r="D3" s="6" t="s">
        <v>6</v>
      </c>
      <c r="E3" s="6" t="s">
        <v>7</v>
      </c>
      <c r="F3" s="6" t="s">
        <v>5</v>
      </c>
      <c r="G3" s="6" t="s">
        <v>6</v>
      </c>
      <c r="H3" s="6" t="s">
        <v>7</v>
      </c>
      <c r="I3" s="6" t="s">
        <v>5</v>
      </c>
      <c r="J3" s="6" t="s">
        <v>6</v>
      </c>
      <c r="K3" s="6" t="s">
        <v>7</v>
      </c>
      <c r="L3" s="5"/>
    </row>
    <row r="4" ht="22.5">
      <c r="A4" s="7" t="s">
        <v>8</v>
      </c>
      <c r="B4" s="8" t="s">
        <v>9</v>
      </c>
      <c r="C4" s="1">
        <v>2</v>
      </c>
      <c r="D4" s="1">
        <v>2</v>
      </c>
      <c r="E4" s="9">
        <v>2</v>
      </c>
      <c r="F4" s="1">
        <v>2</v>
      </c>
      <c r="G4" s="1">
        <v>2</v>
      </c>
      <c r="H4" s="9">
        <v>2</v>
      </c>
      <c r="I4" s="1">
        <v>2</v>
      </c>
      <c r="J4" s="1">
        <v>2</v>
      </c>
      <c r="K4" s="9">
        <v>2</v>
      </c>
      <c r="L4" s="10"/>
    </row>
    <row r="5">
      <c r="A5" s="7" t="s">
        <v>8</v>
      </c>
      <c r="B5" s="8" t="s">
        <v>10</v>
      </c>
      <c r="C5" s="1">
        <v>2</v>
      </c>
      <c r="D5" s="1">
        <v>2</v>
      </c>
      <c r="E5" s="9">
        <v>2</v>
      </c>
      <c r="F5" s="1">
        <v>2</v>
      </c>
      <c r="G5" s="1">
        <v>2</v>
      </c>
      <c r="H5" s="9">
        <v>2</v>
      </c>
      <c r="I5" s="1">
        <v>2</v>
      </c>
      <c r="J5" s="1">
        <v>2</v>
      </c>
      <c r="K5" s="9">
        <v>2</v>
      </c>
    </row>
    <row r="6">
      <c r="A6" s="7" t="s">
        <v>8</v>
      </c>
      <c r="B6" s="8" t="s">
        <v>11</v>
      </c>
      <c r="C6" s="1">
        <v>2</v>
      </c>
      <c r="D6" s="1">
        <v>2</v>
      </c>
      <c r="E6" s="9">
        <v>2</v>
      </c>
      <c r="F6" s="1">
        <v>2</v>
      </c>
      <c r="G6" s="1">
        <v>2</v>
      </c>
      <c r="H6" s="9">
        <v>2</v>
      </c>
      <c r="I6" s="1">
        <v>2</v>
      </c>
      <c r="J6" s="1">
        <v>2</v>
      </c>
      <c r="K6" s="9">
        <v>2</v>
      </c>
    </row>
    <row r="7">
      <c r="A7" s="11" t="s">
        <v>8</v>
      </c>
      <c r="B7" s="12" t="s">
        <v>12</v>
      </c>
      <c r="C7" s="13">
        <v>2</v>
      </c>
      <c r="D7" s="13">
        <v>2</v>
      </c>
      <c r="E7" s="14">
        <v>2</v>
      </c>
      <c r="F7" s="13">
        <v>2</v>
      </c>
      <c r="G7" s="13">
        <v>2</v>
      </c>
      <c r="H7" s="14">
        <v>2</v>
      </c>
      <c r="I7" s="13">
        <v>1</v>
      </c>
      <c r="J7" s="13">
        <v>2</v>
      </c>
      <c r="K7" s="14">
        <v>2</v>
      </c>
    </row>
    <row r="8">
      <c r="A8" s="7" t="s">
        <v>13</v>
      </c>
      <c r="B8" s="8" t="s">
        <v>14</v>
      </c>
      <c r="C8" s="1">
        <v>2</v>
      </c>
      <c r="D8" s="1">
        <v>2</v>
      </c>
      <c r="E8" s="9">
        <v>2</v>
      </c>
      <c r="F8" s="1">
        <v>2</v>
      </c>
      <c r="G8" s="1">
        <v>2</v>
      </c>
      <c r="H8" s="9">
        <v>2</v>
      </c>
      <c r="I8" s="1">
        <v>0</v>
      </c>
      <c r="J8" s="1">
        <v>2</v>
      </c>
      <c r="K8" s="9">
        <v>2</v>
      </c>
    </row>
    <row r="9">
      <c r="A9" s="11" t="s">
        <v>13</v>
      </c>
      <c r="B9" s="12" t="s">
        <v>15</v>
      </c>
      <c r="C9" s="13">
        <v>2</v>
      </c>
      <c r="D9" s="13">
        <v>2</v>
      </c>
      <c r="E9" s="14">
        <v>2</v>
      </c>
      <c r="F9" s="13">
        <v>2</v>
      </c>
      <c r="G9" s="13">
        <v>2</v>
      </c>
      <c r="H9" s="14">
        <v>2</v>
      </c>
      <c r="I9" s="13">
        <v>2</v>
      </c>
      <c r="J9" s="13">
        <v>2</v>
      </c>
      <c r="K9" s="14">
        <v>2</v>
      </c>
    </row>
    <row r="10">
      <c r="A10" s="7" t="s">
        <v>16</v>
      </c>
      <c r="B10" s="8" t="s">
        <v>17</v>
      </c>
      <c r="C10" s="1">
        <v>2</v>
      </c>
      <c r="D10" s="1">
        <v>2</v>
      </c>
      <c r="E10" s="9">
        <v>2</v>
      </c>
      <c r="F10" s="1">
        <v>2</v>
      </c>
      <c r="G10" s="1">
        <v>2</v>
      </c>
      <c r="H10" s="9">
        <v>2</v>
      </c>
      <c r="I10" s="1">
        <v>2</v>
      </c>
      <c r="J10" s="1">
        <v>2</v>
      </c>
      <c r="K10" s="9">
        <v>2</v>
      </c>
    </row>
    <row r="11">
      <c r="A11" s="7" t="s">
        <v>16</v>
      </c>
      <c r="B11" s="8" t="s">
        <v>18</v>
      </c>
      <c r="C11" s="1">
        <v>2</v>
      </c>
      <c r="D11" s="1">
        <v>2</v>
      </c>
      <c r="E11" s="9">
        <v>2</v>
      </c>
      <c r="F11" s="1">
        <v>2</v>
      </c>
      <c r="G11" s="1">
        <v>2</v>
      </c>
      <c r="H11" s="9">
        <v>2</v>
      </c>
      <c r="I11" s="1">
        <v>2</v>
      </c>
      <c r="J11" s="1">
        <v>2</v>
      </c>
      <c r="K11" s="9">
        <v>2</v>
      </c>
    </row>
    <row r="12">
      <c r="A12" s="11" t="s">
        <v>16</v>
      </c>
      <c r="B12" s="12" t="s">
        <v>19</v>
      </c>
      <c r="C12" s="13">
        <v>1</v>
      </c>
      <c r="D12" s="13">
        <v>2</v>
      </c>
      <c r="E12" s="14">
        <v>2</v>
      </c>
      <c r="F12" s="13">
        <v>2</v>
      </c>
      <c r="G12" s="13">
        <v>2</v>
      </c>
      <c r="H12" s="14">
        <v>2</v>
      </c>
      <c r="I12" s="13">
        <v>1</v>
      </c>
      <c r="J12" s="13">
        <v>1</v>
      </c>
      <c r="K12" s="14">
        <v>2</v>
      </c>
    </row>
    <row r="13">
      <c r="A13" s="7" t="s">
        <v>20</v>
      </c>
      <c r="B13" s="8" t="s">
        <v>21</v>
      </c>
      <c r="C13" s="1">
        <v>2</v>
      </c>
      <c r="D13" s="1">
        <v>2</v>
      </c>
      <c r="E13" s="9">
        <v>2</v>
      </c>
      <c r="F13" s="1">
        <v>2</v>
      </c>
      <c r="G13" s="1">
        <v>2</v>
      </c>
      <c r="H13" s="9">
        <v>2</v>
      </c>
      <c r="I13" s="1">
        <v>2</v>
      </c>
      <c r="J13" s="1">
        <v>1</v>
      </c>
      <c r="K13" s="9">
        <v>2</v>
      </c>
    </row>
    <row r="14">
      <c r="A14" s="11" t="s">
        <v>20</v>
      </c>
      <c r="B14" s="12" t="s">
        <v>22</v>
      </c>
      <c r="C14" s="13">
        <v>1</v>
      </c>
      <c r="D14" s="13">
        <v>1</v>
      </c>
      <c r="E14" s="14">
        <v>1</v>
      </c>
      <c r="F14" s="13">
        <v>2</v>
      </c>
      <c r="G14" s="13">
        <v>2</v>
      </c>
      <c r="H14" s="14">
        <v>2</v>
      </c>
      <c r="I14" s="13">
        <v>2</v>
      </c>
      <c r="J14" s="13">
        <v>2</v>
      </c>
      <c r="K14" s="14">
        <v>2</v>
      </c>
    </row>
    <row r="15" ht="14.25">
      <c r="B15" s="15"/>
      <c r="C15" s="16">
        <f>SUM(C4:C14)/22*100</f>
        <v>90.909090909090907</v>
      </c>
      <c r="D15" s="16">
        <f>SUM(D4:D14)/22*100</f>
        <v>95.454545454545453</v>
      </c>
      <c r="E15" s="17">
        <f>SUM(E4:E14)/22*100</f>
        <v>95.454545454545453</v>
      </c>
      <c r="F15" s="16">
        <f>SUM(F4:F14)/22*100</f>
        <v>100</v>
      </c>
      <c r="G15" s="16">
        <f>SUM(G4:G14)/22*100</f>
        <v>100</v>
      </c>
      <c r="H15" s="17">
        <f>SUM(H4:H14)/22*100</f>
        <v>100</v>
      </c>
      <c r="I15" s="16">
        <f>SUM(I4:I14)/22*100</f>
        <v>81.818181818181827</v>
      </c>
      <c r="J15" s="16">
        <f>SUM(J4:J14)/22*100</f>
        <v>90.909090909090907</v>
      </c>
      <c r="K15" s="17">
        <f>SUM(K4:K14)/22*100</f>
        <v>100</v>
      </c>
    </row>
    <row r="16" ht="14.25">
      <c r="A16" t="s">
        <v>23</v>
      </c>
      <c r="B16" s="18">
        <v>0</v>
      </c>
      <c r="C16" s="19">
        <f>SUM(C4:E14)/66*100</f>
        <v>93.939393939393938</v>
      </c>
      <c r="D16" s="19"/>
      <c r="E16" s="20"/>
      <c r="F16" s="19">
        <f>SUM(F4:H14)/66*100</f>
        <v>100</v>
      </c>
      <c r="G16" s="19"/>
      <c r="H16" s="20"/>
      <c r="I16" s="19">
        <f>SUM(I4:K14)/66*100</f>
        <v>90.909090909090907</v>
      </c>
      <c r="J16" s="19"/>
      <c r="K16" s="20"/>
      <c r="L16" s="5" t="s">
        <v>24</v>
      </c>
    </row>
    <row r="17" ht="14.25">
      <c r="A17" t="s">
        <v>25</v>
      </c>
      <c r="B17" s="21">
        <v>2</v>
      </c>
    </row>
    <row r="18" ht="14.25">
      <c r="A18" t="s">
        <v>26</v>
      </c>
      <c r="B18" s="21">
        <v>1</v>
      </c>
    </row>
    <row r="19" ht="14.25">
      <c r="D19" s="22"/>
    </row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</sheetData>
  <mergeCells count="10">
    <mergeCell ref="C1:E1"/>
    <mergeCell ref="J1:K1"/>
    <mergeCell ref="A2:A3"/>
    <mergeCell ref="B2:B3"/>
    <mergeCell ref="C2:E2"/>
    <mergeCell ref="F2:H2"/>
    <mergeCell ref="I2:K2"/>
    <mergeCell ref="C16:E16"/>
    <mergeCell ref="F16:H16"/>
    <mergeCell ref="I16:K1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00C20062-007B-4A57-8963-00F5002F005D}">
            <xm:f>1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C4:K14</xm:sqref>
        </x14:conditionalFormatting>
        <x14:conditionalFormatting xmlns:xm="http://schemas.microsoft.com/office/excel/2006/main">
          <x14:cfRule type="cellIs" priority="1" operator="equal" id="{003800D7-00E5-4A2A-B2DD-000E00ED00BF}">
            <xm:f>0</xm:f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C4:K14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3.8515625"/>
    <col bestFit="1" min="2" max="2" width="50.28125"/>
    <col bestFit="1" customWidth="1" min="3" max="3" width="5.28125"/>
    <col bestFit="1" min="4" max="5" width="5.28125"/>
    <col bestFit="1" min="6" max="6" width="6.28125"/>
    <col bestFit="1" min="7" max="7" width="5.28125"/>
    <col bestFit="1" min="8" max="9" width="6.28125"/>
    <col bestFit="1" min="10" max="11" width="5.28125"/>
    <col bestFit="1" customWidth="1" min="12" max="12" width="37.7109375"/>
  </cols>
  <sheetData>
    <row r="1" ht="14.25">
      <c r="C1" s="1"/>
      <c r="D1" s="1"/>
      <c r="E1" s="1"/>
      <c r="J1" s="2"/>
      <c r="K1" s="2"/>
    </row>
    <row r="2">
      <c r="A2" s="3" t="s">
        <v>0</v>
      </c>
      <c r="B2" s="3" t="s">
        <v>1</v>
      </c>
      <c r="C2" s="4" t="s">
        <v>2</v>
      </c>
      <c r="D2" s="4"/>
      <c r="E2" s="4"/>
      <c r="F2" s="4" t="s">
        <v>3</v>
      </c>
      <c r="G2" s="4"/>
      <c r="H2" s="4"/>
      <c r="I2" s="4" t="s">
        <v>4</v>
      </c>
      <c r="J2" s="4"/>
      <c r="K2" s="4"/>
      <c r="L2" s="5"/>
    </row>
    <row r="3">
      <c r="A3" s="3"/>
      <c r="B3" s="3"/>
      <c r="C3" s="6" t="s">
        <v>5</v>
      </c>
      <c r="D3" s="6" t="s">
        <v>6</v>
      </c>
      <c r="E3" s="6" t="s">
        <v>7</v>
      </c>
      <c r="F3" s="6" t="s">
        <v>5</v>
      </c>
      <c r="G3" s="6" t="s">
        <v>6</v>
      </c>
      <c r="H3" s="6" t="s">
        <v>7</v>
      </c>
      <c r="I3" s="6" t="s">
        <v>5</v>
      </c>
      <c r="J3" s="6" t="s">
        <v>6</v>
      </c>
      <c r="K3" s="6" t="s">
        <v>7</v>
      </c>
      <c r="L3" s="5"/>
    </row>
    <row r="4" ht="22.5">
      <c r="A4" s="7" t="s">
        <v>8</v>
      </c>
      <c r="B4" s="8" t="s">
        <v>9</v>
      </c>
      <c r="C4" s="1">
        <v>2</v>
      </c>
      <c r="D4" s="1">
        <v>2</v>
      </c>
      <c r="E4" s="9">
        <v>2</v>
      </c>
      <c r="F4" s="1">
        <v>2</v>
      </c>
      <c r="G4" s="1">
        <v>2</v>
      </c>
      <c r="H4" s="9">
        <v>2</v>
      </c>
      <c r="I4" s="1">
        <v>2</v>
      </c>
      <c r="J4" s="1">
        <v>2</v>
      </c>
      <c r="K4" s="9">
        <v>2</v>
      </c>
      <c r="L4" s="10"/>
    </row>
    <row r="5">
      <c r="A5" s="7" t="s">
        <v>8</v>
      </c>
      <c r="B5" s="8" t="s">
        <v>10</v>
      </c>
      <c r="C5" s="1">
        <v>2</v>
      </c>
      <c r="D5" s="1">
        <v>2</v>
      </c>
      <c r="E5" s="9">
        <v>2</v>
      </c>
      <c r="F5" s="1">
        <v>2</v>
      </c>
      <c r="G5" s="1">
        <v>2</v>
      </c>
      <c r="H5" s="9">
        <v>2</v>
      </c>
      <c r="I5" s="1">
        <v>2</v>
      </c>
      <c r="J5" s="1">
        <v>2</v>
      </c>
      <c r="K5" s="9">
        <v>2</v>
      </c>
    </row>
    <row r="6">
      <c r="A6" s="7" t="s">
        <v>8</v>
      </c>
      <c r="B6" s="8" t="s">
        <v>11</v>
      </c>
      <c r="C6" s="1">
        <v>2</v>
      </c>
      <c r="D6" s="1">
        <v>2</v>
      </c>
      <c r="E6" s="9">
        <v>2</v>
      </c>
      <c r="F6" s="1">
        <v>2</v>
      </c>
      <c r="G6" s="1">
        <v>2</v>
      </c>
      <c r="H6" s="9">
        <v>2</v>
      </c>
      <c r="I6" s="1">
        <v>2</v>
      </c>
      <c r="J6" s="1">
        <v>1</v>
      </c>
      <c r="K6" s="9">
        <v>2</v>
      </c>
    </row>
    <row r="7">
      <c r="A7" s="11" t="s">
        <v>8</v>
      </c>
      <c r="B7" s="12" t="s">
        <v>12</v>
      </c>
      <c r="C7" s="13">
        <v>2</v>
      </c>
      <c r="D7" s="13">
        <v>2</v>
      </c>
      <c r="E7" s="14">
        <v>2</v>
      </c>
      <c r="F7" s="13">
        <v>2</v>
      </c>
      <c r="G7" s="13">
        <v>1</v>
      </c>
      <c r="H7" s="14">
        <v>2</v>
      </c>
      <c r="I7" s="13">
        <v>2</v>
      </c>
      <c r="J7" s="13">
        <v>2</v>
      </c>
      <c r="K7" s="14">
        <v>2</v>
      </c>
    </row>
    <row r="8">
      <c r="A8" s="7" t="s">
        <v>13</v>
      </c>
      <c r="B8" s="8" t="s">
        <v>14</v>
      </c>
      <c r="C8" s="1">
        <v>2</v>
      </c>
      <c r="D8" s="1">
        <v>2</v>
      </c>
      <c r="E8" s="9">
        <v>2</v>
      </c>
      <c r="F8" s="1">
        <v>2</v>
      </c>
      <c r="G8" s="1">
        <v>2</v>
      </c>
      <c r="H8" s="9">
        <v>2</v>
      </c>
      <c r="I8" s="1">
        <v>2</v>
      </c>
      <c r="J8" s="1">
        <v>2</v>
      </c>
      <c r="K8" s="9">
        <v>2</v>
      </c>
    </row>
    <row r="9">
      <c r="A9" s="11" t="s">
        <v>13</v>
      </c>
      <c r="B9" s="12" t="s">
        <v>15</v>
      </c>
      <c r="C9" s="13">
        <v>2</v>
      </c>
      <c r="D9" s="13">
        <v>2</v>
      </c>
      <c r="E9" s="14">
        <v>2</v>
      </c>
      <c r="F9" s="13">
        <v>2</v>
      </c>
      <c r="G9" s="13">
        <v>1</v>
      </c>
      <c r="H9" s="14">
        <v>2</v>
      </c>
      <c r="I9" s="13">
        <v>2</v>
      </c>
      <c r="J9" s="13">
        <v>2</v>
      </c>
      <c r="K9" s="14">
        <v>1</v>
      </c>
    </row>
    <row r="10">
      <c r="A10" s="7" t="s">
        <v>16</v>
      </c>
      <c r="B10" s="8" t="s">
        <v>17</v>
      </c>
      <c r="C10" s="1">
        <v>2</v>
      </c>
      <c r="D10" s="1">
        <v>2</v>
      </c>
      <c r="E10" s="9">
        <v>2</v>
      </c>
      <c r="F10" s="1">
        <v>2</v>
      </c>
      <c r="G10" s="1">
        <v>2</v>
      </c>
      <c r="H10" s="9">
        <v>2</v>
      </c>
      <c r="I10" s="1">
        <v>2</v>
      </c>
      <c r="J10" s="1">
        <v>2</v>
      </c>
      <c r="K10" s="9">
        <v>2</v>
      </c>
    </row>
    <row r="11">
      <c r="A11" s="7" t="s">
        <v>16</v>
      </c>
      <c r="B11" s="8" t="s">
        <v>18</v>
      </c>
      <c r="C11" s="1">
        <v>2</v>
      </c>
      <c r="D11" s="1">
        <v>2</v>
      </c>
      <c r="E11" s="9">
        <v>2</v>
      </c>
      <c r="F11" s="1">
        <v>2</v>
      </c>
      <c r="G11" s="1">
        <v>2</v>
      </c>
      <c r="H11" s="9">
        <v>2</v>
      </c>
      <c r="I11" s="1">
        <v>2</v>
      </c>
      <c r="J11" s="1">
        <v>2</v>
      </c>
      <c r="K11" s="9">
        <v>2</v>
      </c>
    </row>
    <row r="12">
      <c r="A12" s="11" t="s">
        <v>16</v>
      </c>
      <c r="B12" s="12" t="s">
        <v>19</v>
      </c>
      <c r="C12" s="13">
        <v>2</v>
      </c>
      <c r="D12" s="13">
        <v>2</v>
      </c>
      <c r="E12" s="14">
        <v>2</v>
      </c>
      <c r="F12" s="13">
        <v>2</v>
      </c>
      <c r="G12" s="13">
        <v>2</v>
      </c>
      <c r="H12" s="14">
        <v>2</v>
      </c>
      <c r="I12" s="13">
        <v>2</v>
      </c>
      <c r="J12" s="13">
        <v>1</v>
      </c>
      <c r="K12" s="14">
        <v>2</v>
      </c>
    </row>
    <row r="13">
      <c r="A13" s="7" t="s">
        <v>20</v>
      </c>
      <c r="B13" s="8" t="s">
        <v>21</v>
      </c>
      <c r="C13" s="1">
        <v>2</v>
      </c>
      <c r="D13" s="1">
        <v>2</v>
      </c>
      <c r="E13" s="9">
        <v>2</v>
      </c>
      <c r="F13" s="1">
        <v>2</v>
      </c>
      <c r="G13" s="1">
        <v>2</v>
      </c>
      <c r="H13" s="9">
        <v>2</v>
      </c>
      <c r="I13" s="1">
        <v>2</v>
      </c>
      <c r="J13" s="1">
        <v>2</v>
      </c>
      <c r="K13" s="9">
        <v>2</v>
      </c>
    </row>
    <row r="14">
      <c r="A14" s="11" t="s">
        <v>20</v>
      </c>
      <c r="B14" s="12" t="s">
        <v>22</v>
      </c>
      <c r="C14" s="13">
        <v>1</v>
      </c>
      <c r="D14" s="13">
        <v>1</v>
      </c>
      <c r="E14" s="14">
        <v>1</v>
      </c>
      <c r="F14" s="13">
        <v>2</v>
      </c>
      <c r="G14" s="13">
        <v>2</v>
      </c>
      <c r="H14" s="14">
        <v>2</v>
      </c>
      <c r="I14" s="13">
        <v>2</v>
      </c>
      <c r="J14" s="13">
        <v>2</v>
      </c>
      <c r="K14" s="14">
        <v>2</v>
      </c>
    </row>
    <row r="15" ht="14.25">
      <c r="B15" s="15"/>
      <c r="C15" s="16">
        <f>SUM(C4:C14)/22*100</f>
        <v>95.454545454545453</v>
      </c>
      <c r="D15" s="16">
        <f>SUM(D4:D14)/22*100</f>
        <v>95.454545454545453</v>
      </c>
      <c r="E15" s="17">
        <f>SUM(E4:E14)/22*100</f>
        <v>95.454545454545453</v>
      </c>
      <c r="F15" s="16">
        <f>SUM(F4:F14)/22*100</f>
        <v>100</v>
      </c>
      <c r="G15" s="16">
        <f>SUM(G4:G14)/22*100</f>
        <v>90.909090909090907</v>
      </c>
      <c r="H15" s="17">
        <f>SUM(H4:H14)/22*100</f>
        <v>100</v>
      </c>
      <c r="I15" s="16">
        <f>SUM(I4:I14)/22*100</f>
        <v>100</v>
      </c>
      <c r="J15" s="16">
        <f>SUM(J4:J14)/22*100</f>
        <v>90.909090909090907</v>
      </c>
      <c r="K15" s="17">
        <f>SUM(K4:K14)/22*100</f>
        <v>95.454545454545453</v>
      </c>
    </row>
    <row r="16" ht="14.25">
      <c r="A16" t="s">
        <v>23</v>
      </c>
      <c r="B16" s="18">
        <v>0</v>
      </c>
      <c r="C16" s="19">
        <f>SUM(C4:E14)/66*100</f>
        <v>95.454545454545453</v>
      </c>
      <c r="D16" s="19"/>
      <c r="E16" s="20"/>
      <c r="F16" s="19">
        <f>SUM(F4:H14)/66*100</f>
        <v>96.969696969696969</v>
      </c>
      <c r="G16" s="19"/>
      <c r="H16" s="20"/>
      <c r="I16" s="19">
        <f>SUM(I4:K14)/66*100</f>
        <v>95.454545454545453</v>
      </c>
      <c r="J16" s="19"/>
      <c r="K16" s="20"/>
      <c r="L16" s="5" t="s">
        <v>24</v>
      </c>
    </row>
    <row r="17" ht="14.25">
      <c r="A17" t="s">
        <v>25</v>
      </c>
      <c r="B17" s="21">
        <v>2</v>
      </c>
    </row>
    <row r="18" ht="14.25">
      <c r="A18" t="s">
        <v>26</v>
      </c>
      <c r="B18" s="21">
        <v>1</v>
      </c>
    </row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</sheetData>
  <mergeCells count="10">
    <mergeCell ref="C1:E1"/>
    <mergeCell ref="J1:K1"/>
    <mergeCell ref="A2:A3"/>
    <mergeCell ref="B2:B3"/>
    <mergeCell ref="C2:E2"/>
    <mergeCell ref="F2:H2"/>
    <mergeCell ref="I2:K2"/>
    <mergeCell ref="C16:E16"/>
    <mergeCell ref="F16:H16"/>
    <mergeCell ref="I16:K1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001E0001-00EB-42AD-9A1A-0059008A0000}">
            <xm:f>1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C4:K14</xm:sqref>
        </x14:conditionalFormatting>
        <x14:conditionalFormatting xmlns:xm="http://schemas.microsoft.com/office/excel/2006/main">
          <x14:cfRule type="cellIs" priority="1" operator="equal" id="{00CB00CA-00F6-49B4-82F7-00D400EA0069}">
            <xm:f>0</xm:f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C4:K14</xm:sqref>
        </x14:conditionalFormatting>
        <x14:conditionalFormatting xmlns:xm="http://schemas.microsoft.com/office/excel/2006/main">
          <x14:cfRule type="cellIs" priority="2" operator="equal" id="{00DD0091-000C-4CA6-9F03-003B009200E6}">
            <xm:f>1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K9</xm:sqref>
        </x14:conditionalFormatting>
        <x14:conditionalFormatting xmlns:xm="http://schemas.microsoft.com/office/excel/2006/main">
          <x14:cfRule type="cellIs" priority="1" operator="equal" id="{002000AC-00BD-4A64-8DCA-0071000C0065}">
            <xm:f>0</xm:f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K9</xm:sqref>
        </x14:conditionalFormatting>
        <x14:conditionalFormatting xmlns:xm="http://schemas.microsoft.com/office/excel/2006/main">
          <x14:cfRule type="cellIs" priority="2" operator="equal" id="{008E00EF-00E2-4A8E-A586-00B700BC009C}">
            <xm:f>1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G9</xm:sqref>
        </x14:conditionalFormatting>
        <x14:conditionalFormatting xmlns:xm="http://schemas.microsoft.com/office/excel/2006/main">
          <x14:cfRule type="cellIs" priority="1" operator="equal" id="{00B300EF-0079-401A-96DB-003100000055}">
            <xm:f>0</xm:f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G9</xm:sqref>
        </x14:conditionalFormatting>
        <x14:conditionalFormatting xmlns:xm="http://schemas.microsoft.com/office/excel/2006/main">
          <x14:cfRule type="cellIs" priority="2" operator="equal" id="{00F9007E-0076-40AF-9C49-008200FA00BA}">
            <xm:f>1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G9</xm:sqref>
        </x14:conditionalFormatting>
        <x14:conditionalFormatting xmlns:xm="http://schemas.microsoft.com/office/excel/2006/main">
          <x14:cfRule type="cellIs" priority="1" operator="equal" id="{00BB001E-006A-412F-893F-00A900B900D1}">
            <xm:f>0</xm:f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G9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3.8515625"/>
    <col bestFit="1" min="2" max="2" width="50.28125"/>
    <col bestFit="1" customWidth="1" min="3" max="3" width="5.28125"/>
    <col bestFit="1" min="4" max="5" width="5.28125"/>
    <col bestFit="1" min="6" max="9" width="6.28125"/>
    <col bestFit="1" min="10" max="11" width="5.28125"/>
    <col bestFit="1" customWidth="1" min="12" max="12" width="37.7109375"/>
  </cols>
  <sheetData>
    <row r="1" ht="14.25">
      <c r="C1" s="1"/>
      <c r="D1" s="1"/>
      <c r="E1" s="1"/>
      <c r="J1" s="2"/>
      <c r="K1" s="2"/>
    </row>
    <row r="2">
      <c r="A2" s="3" t="s">
        <v>0</v>
      </c>
      <c r="B2" s="3" t="s">
        <v>1</v>
      </c>
      <c r="C2" s="4" t="s">
        <v>2</v>
      </c>
      <c r="D2" s="4"/>
      <c r="E2" s="4"/>
      <c r="F2" s="4" t="s">
        <v>3</v>
      </c>
      <c r="G2" s="4"/>
      <c r="H2" s="4"/>
      <c r="I2" s="4" t="s">
        <v>4</v>
      </c>
      <c r="J2" s="4"/>
      <c r="K2" s="4"/>
      <c r="L2" s="5"/>
    </row>
    <row r="3">
      <c r="A3" s="3"/>
      <c r="B3" s="3"/>
      <c r="C3" s="6" t="s">
        <v>5</v>
      </c>
      <c r="D3" s="6" t="s">
        <v>6</v>
      </c>
      <c r="E3" s="6" t="s">
        <v>7</v>
      </c>
      <c r="F3" s="6" t="s">
        <v>5</v>
      </c>
      <c r="G3" s="6" t="s">
        <v>6</v>
      </c>
      <c r="H3" s="6" t="s">
        <v>7</v>
      </c>
      <c r="I3" s="6" t="s">
        <v>5</v>
      </c>
      <c r="J3" s="6" t="s">
        <v>6</v>
      </c>
      <c r="K3" s="6" t="s">
        <v>7</v>
      </c>
      <c r="L3" s="5"/>
    </row>
    <row r="4" ht="22.5">
      <c r="A4" s="7" t="s">
        <v>8</v>
      </c>
      <c r="B4" s="8" t="s">
        <v>9</v>
      </c>
      <c r="C4" s="1">
        <v>2</v>
      </c>
      <c r="D4" s="1">
        <v>2</v>
      </c>
      <c r="E4" s="9">
        <v>2</v>
      </c>
      <c r="F4" s="1">
        <v>2</v>
      </c>
      <c r="G4" s="1">
        <v>2</v>
      </c>
      <c r="H4" s="9">
        <v>2</v>
      </c>
      <c r="I4" s="1">
        <v>2</v>
      </c>
      <c r="J4" s="1">
        <v>2</v>
      </c>
      <c r="K4" s="9">
        <v>2</v>
      </c>
      <c r="L4" s="10"/>
    </row>
    <row r="5">
      <c r="A5" s="7" t="s">
        <v>8</v>
      </c>
      <c r="B5" s="8" t="s">
        <v>10</v>
      </c>
      <c r="C5" s="1">
        <v>2</v>
      </c>
      <c r="D5" s="1">
        <v>2</v>
      </c>
      <c r="E5" s="9">
        <v>2</v>
      </c>
      <c r="F5" s="1">
        <v>2</v>
      </c>
      <c r="G5" s="1">
        <v>2</v>
      </c>
      <c r="H5" s="9">
        <v>2</v>
      </c>
      <c r="I5" s="1">
        <v>2</v>
      </c>
      <c r="J5" s="1">
        <v>2</v>
      </c>
      <c r="K5" s="9">
        <v>2</v>
      </c>
    </row>
    <row r="6">
      <c r="A6" s="7" t="s">
        <v>8</v>
      </c>
      <c r="B6" s="8" t="s">
        <v>11</v>
      </c>
      <c r="C6" s="1">
        <v>2</v>
      </c>
      <c r="D6" s="1">
        <v>2</v>
      </c>
      <c r="E6" s="9">
        <v>2</v>
      </c>
      <c r="F6" s="1">
        <v>2</v>
      </c>
      <c r="G6" s="1">
        <v>2</v>
      </c>
      <c r="H6" s="9">
        <v>2</v>
      </c>
      <c r="I6" s="1">
        <v>2</v>
      </c>
      <c r="J6" s="1">
        <v>2</v>
      </c>
      <c r="K6" s="9">
        <v>2</v>
      </c>
    </row>
    <row r="7">
      <c r="A7" s="11" t="s">
        <v>8</v>
      </c>
      <c r="B7" s="12" t="s">
        <v>12</v>
      </c>
      <c r="C7" s="13">
        <v>2</v>
      </c>
      <c r="D7" s="13">
        <v>2</v>
      </c>
      <c r="E7" s="14">
        <v>2</v>
      </c>
      <c r="F7" s="13">
        <v>2</v>
      </c>
      <c r="G7" s="13">
        <v>2</v>
      </c>
      <c r="H7" s="14">
        <v>2</v>
      </c>
      <c r="I7" s="13">
        <v>2</v>
      </c>
      <c r="J7" s="13">
        <v>2</v>
      </c>
      <c r="K7" s="14">
        <v>2</v>
      </c>
    </row>
    <row r="8">
      <c r="A8" s="7" t="s">
        <v>13</v>
      </c>
      <c r="B8" s="8" t="s">
        <v>14</v>
      </c>
      <c r="C8" s="1">
        <v>2</v>
      </c>
      <c r="D8" s="1">
        <v>2</v>
      </c>
      <c r="E8" s="9">
        <v>2</v>
      </c>
      <c r="F8" s="1">
        <v>2</v>
      </c>
      <c r="G8" s="1">
        <v>2</v>
      </c>
      <c r="H8" s="9">
        <v>2</v>
      </c>
      <c r="I8" s="1">
        <v>2</v>
      </c>
      <c r="J8" s="1">
        <v>0</v>
      </c>
      <c r="K8" s="9">
        <v>0</v>
      </c>
    </row>
    <row r="9">
      <c r="A9" s="11" t="s">
        <v>13</v>
      </c>
      <c r="B9" s="12" t="s">
        <v>15</v>
      </c>
      <c r="C9" s="13">
        <v>2</v>
      </c>
      <c r="D9" s="13">
        <v>2</v>
      </c>
      <c r="E9" s="14">
        <v>2</v>
      </c>
      <c r="F9" s="13">
        <v>2</v>
      </c>
      <c r="G9" s="13">
        <v>2</v>
      </c>
      <c r="H9" s="14">
        <v>2</v>
      </c>
      <c r="I9" s="13">
        <v>2</v>
      </c>
      <c r="J9" s="13">
        <v>2</v>
      </c>
      <c r="K9" s="14">
        <v>1</v>
      </c>
    </row>
    <row r="10">
      <c r="A10" s="7" t="s">
        <v>16</v>
      </c>
      <c r="B10" s="8" t="s">
        <v>17</v>
      </c>
      <c r="C10" s="1">
        <v>2</v>
      </c>
      <c r="D10" s="1">
        <v>2</v>
      </c>
      <c r="E10" s="9">
        <v>2</v>
      </c>
      <c r="F10" s="1">
        <v>2</v>
      </c>
      <c r="G10" s="1">
        <v>2</v>
      </c>
      <c r="H10" s="9">
        <v>2</v>
      </c>
      <c r="I10" s="1">
        <v>2</v>
      </c>
      <c r="J10" s="1">
        <v>2</v>
      </c>
      <c r="K10" s="9">
        <v>2</v>
      </c>
    </row>
    <row r="11">
      <c r="A11" s="7" t="s">
        <v>16</v>
      </c>
      <c r="B11" s="8" t="s">
        <v>18</v>
      </c>
      <c r="C11" s="1">
        <v>2</v>
      </c>
      <c r="D11" s="1">
        <v>2</v>
      </c>
      <c r="E11" s="9">
        <v>2</v>
      </c>
      <c r="F11" s="1">
        <v>2</v>
      </c>
      <c r="G11" s="1">
        <v>2</v>
      </c>
      <c r="H11" s="9">
        <v>2</v>
      </c>
      <c r="I11" s="1">
        <v>2</v>
      </c>
      <c r="J11" s="1">
        <v>2</v>
      </c>
      <c r="K11" s="9">
        <v>1</v>
      </c>
    </row>
    <row r="12">
      <c r="A12" s="11" t="s">
        <v>16</v>
      </c>
      <c r="B12" s="12" t="s">
        <v>27</v>
      </c>
      <c r="C12" s="13">
        <v>2</v>
      </c>
      <c r="D12" s="13">
        <v>2</v>
      </c>
      <c r="E12" s="14">
        <v>2</v>
      </c>
      <c r="F12" s="13">
        <v>2</v>
      </c>
      <c r="G12" s="13">
        <v>2</v>
      </c>
      <c r="H12" s="14">
        <v>2</v>
      </c>
      <c r="I12" s="13">
        <v>2</v>
      </c>
      <c r="J12" s="13">
        <v>1</v>
      </c>
      <c r="K12" s="14">
        <v>1</v>
      </c>
    </row>
    <row r="13">
      <c r="A13" s="7" t="s">
        <v>20</v>
      </c>
      <c r="B13" s="8" t="s">
        <v>21</v>
      </c>
      <c r="C13" s="1">
        <v>2</v>
      </c>
      <c r="D13" s="1">
        <v>2</v>
      </c>
      <c r="E13" s="9">
        <v>2</v>
      </c>
      <c r="F13" s="1">
        <v>2</v>
      </c>
      <c r="G13" s="1">
        <v>2</v>
      </c>
      <c r="H13" s="9">
        <v>2</v>
      </c>
      <c r="I13" s="1">
        <v>2</v>
      </c>
      <c r="J13" s="1">
        <v>2</v>
      </c>
      <c r="K13" s="9">
        <v>2</v>
      </c>
    </row>
    <row r="14">
      <c r="A14" s="11" t="s">
        <v>20</v>
      </c>
      <c r="B14" s="12" t="s">
        <v>22</v>
      </c>
      <c r="C14" s="13">
        <v>1</v>
      </c>
      <c r="D14" s="13">
        <v>1</v>
      </c>
      <c r="E14" s="14">
        <v>1</v>
      </c>
      <c r="F14" s="13">
        <v>2</v>
      </c>
      <c r="G14" s="13">
        <v>2</v>
      </c>
      <c r="H14" s="14">
        <v>2</v>
      </c>
      <c r="I14" s="13">
        <v>2</v>
      </c>
      <c r="J14" s="13">
        <v>2</v>
      </c>
      <c r="K14" s="14">
        <v>2</v>
      </c>
    </row>
    <row r="15" ht="14.25">
      <c r="B15" s="15"/>
      <c r="C15" s="16">
        <f>SUM(C4:C14)/22*100</f>
        <v>95.454545454545453</v>
      </c>
      <c r="D15" s="16">
        <f>SUM(D4:D14)/22*100</f>
        <v>95.454545454545453</v>
      </c>
      <c r="E15" s="17">
        <f>SUM(E4:E14)/22*100</f>
        <v>95.454545454545453</v>
      </c>
      <c r="F15" s="16">
        <f>SUM(F4:F14)/22*100</f>
        <v>100</v>
      </c>
      <c r="G15" s="16">
        <f>SUM(G4:G14)/22*100</f>
        <v>100</v>
      </c>
      <c r="H15" s="17">
        <f>SUM(H4:H14)/22*100</f>
        <v>100</v>
      </c>
      <c r="I15" s="16">
        <f>SUM(I4:I14)/22*100</f>
        <v>100</v>
      </c>
      <c r="J15" s="16">
        <f>SUM(J4:J14)/22*100</f>
        <v>86.36363636363636</v>
      </c>
      <c r="K15" s="17">
        <f>SUM(K4:K14)/22*100</f>
        <v>77.272727272727266</v>
      </c>
    </row>
    <row r="16" ht="14.25">
      <c r="A16" t="s">
        <v>23</v>
      </c>
      <c r="B16" s="18">
        <v>0</v>
      </c>
      <c r="C16" s="19">
        <f>SUM(C4:E14)/66*100</f>
        <v>95.454545454545453</v>
      </c>
      <c r="D16" s="19"/>
      <c r="E16" s="20"/>
      <c r="F16" s="19">
        <f>SUM(F4:H14)/66*100</f>
        <v>100</v>
      </c>
      <c r="G16" s="19"/>
      <c r="H16" s="20"/>
      <c r="I16" s="19">
        <f>SUM(I4:K14)/66*100</f>
        <v>87.878787878787875</v>
      </c>
      <c r="J16" s="19"/>
      <c r="K16" s="20"/>
      <c r="L16" s="5" t="s">
        <v>24</v>
      </c>
    </row>
    <row r="17" ht="14.25">
      <c r="A17" t="s">
        <v>25</v>
      </c>
      <c r="B17" s="21">
        <v>2</v>
      </c>
    </row>
    <row r="18" ht="14.25">
      <c r="A18" t="s">
        <v>26</v>
      </c>
      <c r="B18" s="21">
        <v>1</v>
      </c>
    </row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</sheetData>
  <mergeCells count="10">
    <mergeCell ref="C1:E1"/>
    <mergeCell ref="J1:K1"/>
    <mergeCell ref="A2:A3"/>
    <mergeCell ref="B2:B3"/>
    <mergeCell ref="C2:E2"/>
    <mergeCell ref="F2:H2"/>
    <mergeCell ref="I2:K2"/>
    <mergeCell ref="C16:E16"/>
    <mergeCell ref="F16:H16"/>
    <mergeCell ref="I16:K1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0016003E-0094-41B6-BD24-008200320011}">
            <xm:f>1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C4:K14</xm:sqref>
        </x14:conditionalFormatting>
        <x14:conditionalFormatting xmlns:xm="http://schemas.microsoft.com/office/excel/2006/main">
          <x14:cfRule type="cellIs" priority="1" operator="equal" id="{00F600B8-003A-4908-A32E-00C800B00025}">
            <xm:f>0</xm:f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C4:K14</xm:sqref>
        </x14:conditionalFormatting>
        <x14:conditionalFormatting xmlns:xm="http://schemas.microsoft.com/office/excel/2006/main">
          <x14:cfRule type="cellIs" priority="2" operator="equal" id="{009200FD-00CC-4C63-A030-0092000A00C3}">
            <xm:f>1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K12</xm:sqref>
        </x14:conditionalFormatting>
        <x14:conditionalFormatting xmlns:xm="http://schemas.microsoft.com/office/excel/2006/main">
          <x14:cfRule type="cellIs" priority="1" operator="equal" id="{008D0013-0028-499E-9CAA-005E00010042}">
            <xm:f>0</xm:f>
            <x14:dxf>
              <fill>
                <patternFill patternType="solid">
                  <fgColor rgb="FFF2DBDA"/>
                  <bgColor rgb="FFF2DBDA"/>
                </patternFill>
              </fill>
            </x14:dxf>
          </x14:cfRule>
          <xm:sqref>K12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6.28125"/>
    <col bestFit="1" min="2" max="10" width="6.57421875"/>
  </cols>
  <sheetData>
    <row r="1" ht="14.25">
      <c r="B1" s="23" t="s">
        <v>28</v>
      </c>
      <c r="C1" s="23" t="s">
        <v>29</v>
      </c>
      <c r="D1" s="23" t="s">
        <v>30</v>
      </c>
      <c r="E1" s="23" t="s">
        <v>31</v>
      </c>
      <c r="F1" s="23" t="s">
        <v>32</v>
      </c>
      <c r="G1" s="23" t="s">
        <v>33</v>
      </c>
      <c r="H1" s="23" t="s">
        <v>34</v>
      </c>
      <c r="I1" s="23" t="s">
        <v>35</v>
      </c>
      <c r="J1" s="23" t="s">
        <v>36</v>
      </c>
    </row>
    <row r="2" ht="14.25">
      <c r="A2" s="5" t="s">
        <v>37</v>
      </c>
      <c r="B2" s="16">
        <v>90.909999999999997</v>
      </c>
      <c r="C2" s="16">
        <v>95.450000000000003</v>
      </c>
      <c r="D2" s="16">
        <v>95.450000000000003</v>
      </c>
      <c r="E2" s="16">
        <v>95.450000000000003</v>
      </c>
      <c r="F2" s="16">
        <v>95.450000000000003</v>
      </c>
      <c r="G2" s="16">
        <v>95.450000000000003</v>
      </c>
      <c r="H2" s="16">
        <v>95.450000000000003</v>
      </c>
      <c r="I2" s="16">
        <v>95.450000000000003</v>
      </c>
      <c r="J2" s="16">
        <v>95.450000000000003</v>
      </c>
    </row>
    <row r="3" ht="14.25">
      <c r="A3" s="5" t="s">
        <v>3</v>
      </c>
      <c r="B3" s="16">
        <v>100</v>
      </c>
      <c r="C3" s="16">
        <v>100</v>
      </c>
      <c r="D3" s="16">
        <v>100</v>
      </c>
      <c r="E3" s="16">
        <v>100</v>
      </c>
      <c r="F3" s="16">
        <v>90.909999999999997</v>
      </c>
      <c r="G3" s="16">
        <v>100</v>
      </c>
      <c r="H3" s="16">
        <v>100</v>
      </c>
      <c r="I3" s="16">
        <v>100</v>
      </c>
      <c r="J3" s="16">
        <v>100</v>
      </c>
    </row>
    <row r="4" ht="14.25">
      <c r="A4" s="5" t="s">
        <v>38</v>
      </c>
      <c r="B4" s="16">
        <v>81.819999999999993</v>
      </c>
      <c r="C4" s="16">
        <v>90.909999999999997</v>
      </c>
      <c r="D4" s="16">
        <v>100</v>
      </c>
      <c r="E4" s="16">
        <v>100</v>
      </c>
      <c r="F4" s="16">
        <v>90.909999999999997</v>
      </c>
      <c r="G4" s="16">
        <v>95.450000000000003</v>
      </c>
      <c r="H4" s="16">
        <v>100</v>
      </c>
      <c r="I4" s="16">
        <v>86.359999999999999</v>
      </c>
      <c r="J4" s="16">
        <v>77.269999999999996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6.28125"/>
    <col bestFit="1" min="2" max="2" width="6.28125"/>
    <col bestFit="1" min="3" max="3" width="5.28125"/>
    <col bestFit="1" min="4" max="4" width="6.28125"/>
    <col bestFit="1" min="5" max="5" width="11.28125"/>
  </cols>
  <sheetData>
    <row r="1" ht="14.25">
      <c r="A1" s="24"/>
      <c r="B1" s="23" t="s">
        <v>39</v>
      </c>
      <c r="C1" s="23" t="s">
        <v>40</v>
      </c>
      <c r="D1" s="23" t="s">
        <v>41</v>
      </c>
      <c r="E1" s="23" t="s">
        <v>42</v>
      </c>
    </row>
    <row r="2" ht="14.25">
      <c r="A2" s="5" t="s">
        <v>37</v>
      </c>
      <c r="B2" s="16">
        <f>'teste-prompt-CB1'!C16</f>
        <v>93.939393939393938</v>
      </c>
      <c r="C2" s="16">
        <f>'teste-prompt-CB2'!C16</f>
        <v>95.454545454545453</v>
      </c>
      <c r="D2" s="16">
        <f>'teste-prompt-CB3'!C16</f>
        <v>95.454545454545453</v>
      </c>
      <c r="E2" s="16">
        <f t="shared" ref="E2:E4" si="0">AVERAGE(B2:D2)</f>
        <v>94.949494949494934</v>
      </c>
    </row>
    <row r="3" ht="14.25">
      <c r="A3" s="5" t="s">
        <v>3</v>
      </c>
      <c r="B3" s="16">
        <f>'teste-prompt-CB1'!F16</f>
        <v>100</v>
      </c>
      <c r="C3" s="16">
        <f>'teste-prompt-CB2'!F16</f>
        <v>96.969696969696969</v>
      </c>
      <c r="D3" s="16">
        <f>'teste-prompt-CB3'!F16</f>
        <v>100</v>
      </c>
      <c r="E3" s="16">
        <f t="shared" si="0"/>
        <v>98.989898989899004</v>
      </c>
    </row>
    <row r="4" ht="14.25">
      <c r="A4" s="5" t="s">
        <v>38</v>
      </c>
      <c r="B4" s="16">
        <f>'teste-prompt-CB1'!I16</f>
        <v>90.909090909090907</v>
      </c>
      <c r="C4" s="16">
        <f>'teste-prompt-CB2'!I16</f>
        <v>95.454545454545453</v>
      </c>
      <c r="D4" s="16">
        <f>'teste-prompt-CB3'!I16</f>
        <v>87.878787878787875</v>
      </c>
      <c r="E4" s="16">
        <f t="shared" si="0"/>
        <v>91.414141414141412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4</cp:revision>
  <dcterms:created xsi:type="dcterms:W3CDTF">2025-09-26T14:08:17Z</dcterms:created>
  <dcterms:modified xsi:type="dcterms:W3CDTF">2025-11-05T14:50:54Z</dcterms:modified>
</cp:coreProperties>
</file>